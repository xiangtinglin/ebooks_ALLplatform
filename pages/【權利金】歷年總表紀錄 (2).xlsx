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Q1-今【銷售明細_書籍】ALL項目" sheetId="1" r:id="rId4"/>
  </sheets>
  <definedNames/>
  <calcPr/>
</workbook>
</file>

<file path=xl/sharedStrings.xml><?xml version="1.0" encoding="utf-8"?>
<sst xmlns="http://schemas.openxmlformats.org/spreadsheetml/2006/main" count="583" uniqueCount="69">
  <si>
    <t>項目</t>
  </si>
  <si>
    <t>單位名稱</t>
  </si>
  <si>
    <t>合約詳編</t>
  </si>
  <si>
    <t>合約簡編</t>
  </si>
  <si>
    <t>出版品編號(P碼)</t>
  </si>
  <si>
    <t>書名</t>
  </si>
  <si>
    <t>副題名</t>
  </si>
  <si>
    <t>ISBN</t>
  </si>
  <si>
    <t>作者</t>
  </si>
  <si>
    <t>出版年</t>
  </si>
  <si>
    <t>紙本訂價</t>
  </si>
  <si>
    <t>COPY數</t>
  </si>
  <si>
    <t>加權系數</t>
  </si>
  <si>
    <t>電子書內容收益</t>
  </si>
  <si>
    <t>拆帳比例</t>
  </si>
  <si>
    <t>權利金</t>
  </si>
  <si>
    <t>銷售單位</t>
  </si>
  <si>
    <t>單位使用條件</t>
  </si>
  <si>
    <t>備註</t>
  </si>
  <si>
    <t>季</t>
  </si>
  <si>
    <t>對照書單</t>
  </si>
  <si>
    <t>銷售地區</t>
  </si>
  <si>
    <t>A</t>
  </si>
  <si>
    <t>A1234</t>
  </si>
  <si>
    <t>買家甲</t>
  </si>
  <si>
    <t>2024Q1</t>
  </si>
  <si>
    <t>海內</t>
  </si>
  <si>
    <t>買家乙</t>
  </si>
  <si>
    <t>2023Q2</t>
  </si>
  <si>
    <t>海外</t>
  </si>
  <si>
    <t>買家丙</t>
  </si>
  <si>
    <t>2019Q4</t>
  </si>
  <si>
    <t>2024Q2</t>
  </si>
  <si>
    <t>2023Q3</t>
  </si>
  <si>
    <t>2019Q2</t>
  </si>
  <si>
    <t>2024Q3</t>
  </si>
  <si>
    <t>2023Q4</t>
  </si>
  <si>
    <t>2019Q1</t>
  </si>
  <si>
    <t>B</t>
  </si>
  <si>
    <t>B1234</t>
  </si>
  <si>
    <t>買家丁</t>
  </si>
  <si>
    <t>2024Q4</t>
  </si>
  <si>
    <t>買家戊</t>
  </si>
  <si>
    <t>買家已</t>
  </si>
  <si>
    <t>買家更</t>
  </si>
  <si>
    <t>2018Q3</t>
  </si>
  <si>
    <t>買家辛</t>
  </si>
  <si>
    <t>2022Q4</t>
  </si>
  <si>
    <t>2021Q2</t>
  </si>
  <si>
    <t>2022Q1</t>
  </si>
  <si>
    <t>2021Q4</t>
  </si>
  <si>
    <t>2018Q4</t>
  </si>
  <si>
    <t>2022Q2</t>
  </si>
  <si>
    <t>2021Q3</t>
  </si>
  <si>
    <t>2021Q1</t>
  </si>
  <si>
    <t>C</t>
  </si>
  <si>
    <t>C1234</t>
  </si>
  <si>
    <t>2018Q2</t>
  </si>
  <si>
    <t>2017Q2</t>
  </si>
  <si>
    <t>2019Q3</t>
  </si>
  <si>
    <t>2017Q1</t>
  </si>
  <si>
    <t>2023Q1</t>
  </si>
  <si>
    <t>2018Q1</t>
  </si>
  <si>
    <t>2017Q3</t>
  </si>
  <si>
    <t>D</t>
  </si>
  <si>
    <t>D1234</t>
  </si>
  <si>
    <t>E</t>
  </si>
  <si>
    <t>E1234</t>
  </si>
  <si>
    <t>2017Q4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</si>
</sst>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新細明體"/>
    </font>
    <font>
      <b/>
      <sz val="12.0"/>
      <color rgb="FF000000"/>
      <name val="新細明體"/>
    </font>
    <font>
      <b/>
      <sz val="12.0"/>
      <color theme="1"/>
      <name val="新細明體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1</v>
      </c>
      <c r="K1" s="5" t="s">
        <v>9</v>
      </c>
      <c r="L1" s="6" t="s">
        <v>10</v>
      </c>
      <c r="M1" s="3" t="s">
        <v>11</v>
      </c>
      <c r="N1" s="3" t="s">
        <v>12</v>
      </c>
      <c r="O1" s="7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8" t="s">
        <v>20</v>
      </c>
      <c r="W1" s="8" t="s">
        <v>21</v>
      </c>
    </row>
    <row r="2">
      <c r="B2" s="9" t="s">
        <v>22</v>
      </c>
      <c r="D2" s="10" t="s">
        <v>23</v>
      </c>
      <c r="K2" s="9">
        <v>2017.0</v>
      </c>
      <c r="O2" s="9">
        <v>8849.0</v>
      </c>
      <c r="P2" s="9">
        <v>0.4</v>
      </c>
      <c r="Q2" s="11">
        <f t="shared" ref="Q2:Q113" si="1">O2*P2</f>
        <v>3539.6</v>
      </c>
      <c r="R2" s="9" t="s">
        <v>24</v>
      </c>
      <c r="U2" s="9" t="s">
        <v>25</v>
      </c>
      <c r="W2" s="9" t="s">
        <v>26</v>
      </c>
    </row>
    <row r="3">
      <c r="B3" s="9" t="s">
        <v>22</v>
      </c>
      <c r="D3" s="10" t="s">
        <v>23</v>
      </c>
      <c r="K3" s="9">
        <v>2020.0</v>
      </c>
      <c r="O3" s="9">
        <v>28471.0</v>
      </c>
      <c r="P3" s="9">
        <v>0.4</v>
      </c>
      <c r="Q3" s="11">
        <f t="shared" si="1"/>
        <v>11388.4</v>
      </c>
      <c r="R3" s="9" t="s">
        <v>27</v>
      </c>
      <c r="U3" s="9" t="s">
        <v>28</v>
      </c>
      <c r="W3" s="9" t="s">
        <v>29</v>
      </c>
    </row>
    <row r="4">
      <c r="B4" s="9" t="s">
        <v>22</v>
      </c>
      <c r="D4" s="10" t="s">
        <v>23</v>
      </c>
      <c r="K4" s="9">
        <v>2023.0</v>
      </c>
      <c r="O4" s="9">
        <v>48093.0</v>
      </c>
      <c r="P4" s="9">
        <v>0.4</v>
      </c>
      <c r="Q4" s="11">
        <f t="shared" si="1"/>
        <v>19237.2</v>
      </c>
      <c r="R4" s="9" t="s">
        <v>30</v>
      </c>
      <c r="U4" s="9" t="s">
        <v>31</v>
      </c>
      <c r="W4" s="9" t="s">
        <v>26</v>
      </c>
    </row>
    <row r="5">
      <c r="B5" s="9" t="s">
        <v>22</v>
      </c>
      <c r="D5" s="10" t="s">
        <v>23</v>
      </c>
      <c r="K5" s="9">
        <v>2000.0</v>
      </c>
      <c r="O5" s="9">
        <v>67715.0</v>
      </c>
      <c r="P5" s="9">
        <v>0.4</v>
      </c>
      <c r="Q5" s="11">
        <f t="shared" si="1"/>
        <v>27086</v>
      </c>
      <c r="R5" s="9" t="s">
        <v>24</v>
      </c>
      <c r="U5" s="9" t="s">
        <v>25</v>
      </c>
      <c r="W5" s="9" t="s">
        <v>26</v>
      </c>
    </row>
    <row r="6">
      <c r="B6" s="9" t="s">
        <v>22</v>
      </c>
      <c r="D6" s="10" t="s">
        <v>23</v>
      </c>
      <c r="K6" s="9">
        <v>1989.0</v>
      </c>
      <c r="O6" s="9">
        <v>87337.0</v>
      </c>
      <c r="P6" s="9">
        <v>0.4</v>
      </c>
      <c r="Q6" s="11">
        <f t="shared" si="1"/>
        <v>34934.8</v>
      </c>
      <c r="R6" s="9" t="s">
        <v>27</v>
      </c>
      <c r="U6" s="9" t="s">
        <v>28</v>
      </c>
      <c r="W6" s="9" t="s">
        <v>29</v>
      </c>
    </row>
    <row r="7">
      <c r="B7" s="9" t="s">
        <v>22</v>
      </c>
      <c r="D7" s="10" t="s">
        <v>23</v>
      </c>
      <c r="K7" s="9">
        <v>2011.0</v>
      </c>
      <c r="O7" s="9">
        <v>106959.0</v>
      </c>
      <c r="P7" s="9">
        <v>0.4</v>
      </c>
      <c r="Q7" s="11">
        <f t="shared" si="1"/>
        <v>42783.6</v>
      </c>
      <c r="R7" s="9" t="s">
        <v>30</v>
      </c>
      <c r="U7" s="9" t="s">
        <v>31</v>
      </c>
      <c r="W7" s="9" t="s">
        <v>26</v>
      </c>
    </row>
    <row r="8">
      <c r="B8" s="9" t="s">
        <v>22</v>
      </c>
      <c r="D8" s="10" t="s">
        <v>23</v>
      </c>
      <c r="K8" s="9">
        <v>2019.0</v>
      </c>
      <c r="O8" s="9">
        <v>126581.0</v>
      </c>
      <c r="P8" s="9">
        <v>0.4</v>
      </c>
      <c r="Q8" s="11">
        <f t="shared" si="1"/>
        <v>50632.4</v>
      </c>
      <c r="R8" s="9" t="s">
        <v>24</v>
      </c>
      <c r="U8" s="9" t="s">
        <v>32</v>
      </c>
      <c r="W8" s="9" t="s">
        <v>29</v>
      </c>
    </row>
    <row r="9">
      <c r="B9" s="9" t="s">
        <v>22</v>
      </c>
      <c r="D9" s="10" t="s">
        <v>23</v>
      </c>
      <c r="K9" s="9">
        <v>2022.0</v>
      </c>
      <c r="O9" s="9">
        <v>146203.0</v>
      </c>
      <c r="P9" s="9">
        <v>0.4</v>
      </c>
      <c r="Q9" s="11">
        <f t="shared" si="1"/>
        <v>58481.2</v>
      </c>
      <c r="R9" s="9" t="s">
        <v>27</v>
      </c>
      <c r="U9" s="9" t="s">
        <v>33</v>
      </c>
      <c r="W9" s="9" t="s">
        <v>26</v>
      </c>
    </row>
    <row r="10">
      <c r="B10" s="9" t="s">
        <v>22</v>
      </c>
      <c r="D10" s="10" t="s">
        <v>23</v>
      </c>
      <c r="K10" s="9">
        <v>2020.0</v>
      </c>
      <c r="O10" s="9">
        <v>165825.0</v>
      </c>
      <c r="P10" s="9">
        <v>0.5</v>
      </c>
      <c r="Q10" s="11">
        <f t="shared" si="1"/>
        <v>82912.5</v>
      </c>
      <c r="R10" s="9" t="s">
        <v>30</v>
      </c>
      <c r="U10" s="9" t="s">
        <v>34</v>
      </c>
      <c r="W10" s="9" t="s">
        <v>26</v>
      </c>
    </row>
    <row r="11">
      <c r="B11" s="9" t="s">
        <v>22</v>
      </c>
      <c r="D11" s="10" t="s">
        <v>23</v>
      </c>
      <c r="K11" s="9">
        <v>2000.0</v>
      </c>
      <c r="O11" s="9">
        <v>185447.0</v>
      </c>
      <c r="P11" s="9">
        <v>0.5</v>
      </c>
      <c r="Q11" s="11">
        <f t="shared" si="1"/>
        <v>92723.5</v>
      </c>
      <c r="R11" s="9" t="s">
        <v>24</v>
      </c>
      <c r="U11" s="9" t="s">
        <v>35</v>
      </c>
      <c r="W11" s="9" t="s">
        <v>29</v>
      </c>
    </row>
    <row r="12">
      <c r="B12" s="9" t="s">
        <v>22</v>
      </c>
      <c r="D12" s="10" t="s">
        <v>23</v>
      </c>
      <c r="K12" s="9">
        <v>1999.0</v>
      </c>
      <c r="O12" s="9">
        <v>205069.0</v>
      </c>
      <c r="P12" s="9">
        <v>0.5</v>
      </c>
      <c r="Q12" s="11">
        <f t="shared" si="1"/>
        <v>102534.5</v>
      </c>
      <c r="R12" s="9" t="s">
        <v>27</v>
      </c>
      <c r="U12" s="9" t="s">
        <v>36</v>
      </c>
      <c r="W12" s="9" t="s">
        <v>26</v>
      </c>
    </row>
    <row r="13">
      <c r="B13" s="9" t="s">
        <v>22</v>
      </c>
      <c r="D13" s="10" t="s">
        <v>23</v>
      </c>
      <c r="K13" s="9">
        <v>1996.0</v>
      </c>
      <c r="O13" s="9">
        <v>224691.0</v>
      </c>
      <c r="P13" s="9">
        <v>0.5</v>
      </c>
      <c r="Q13" s="11">
        <f t="shared" si="1"/>
        <v>112345.5</v>
      </c>
      <c r="R13" s="9" t="s">
        <v>30</v>
      </c>
      <c r="U13" s="9" t="s">
        <v>35</v>
      </c>
      <c r="W13" s="9" t="s">
        <v>29</v>
      </c>
    </row>
    <row r="14">
      <c r="B14" s="9" t="s">
        <v>22</v>
      </c>
      <c r="D14" s="10" t="s">
        <v>23</v>
      </c>
      <c r="K14" s="9">
        <v>2014.0</v>
      </c>
      <c r="O14" s="9">
        <v>244313.0</v>
      </c>
      <c r="P14" s="9">
        <v>0.5</v>
      </c>
      <c r="Q14" s="11">
        <f t="shared" si="1"/>
        <v>122156.5</v>
      </c>
      <c r="R14" s="9" t="s">
        <v>24</v>
      </c>
      <c r="U14" s="9" t="s">
        <v>36</v>
      </c>
      <c r="W14" s="9" t="s">
        <v>26</v>
      </c>
    </row>
    <row r="15">
      <c r="B15" s="9" t="s">
        <v>22</v>
      </c>
      <c r="D15" s="10" t="s">
        <v>23</v>
      </c>
      <c r="K15" s="9">
        <v>2012.0</v>
      </c>
      <c r="O15" s="9">
        <v>263935.0</v>
      </c>
      <c r="P15" s="9">
        <v>0.5</v>
      </c>
      <c r="Q15" s="11">
        <f t="shared" si="1"/>
        <v>131967.5</v>
      </c>
      <c r="R15" s="9" t="s">
        <v>27</v>
      </c>
      <c r="U15" s="9" t="s">
        <v>37</v>
      </c>
      <c r="W15" s="9" t="s">
        <v>26</v>
      </c>
    </row>
    <row r="16">
      <c r="B16" s="9" t="s">
        <v>38</v>
      </c>
      <c r="D16" s="10" t="s">
        <v>39</v>
      </c>
      <c r="K16" s="9">
        <v>2013.0</v>
      </c>
      <c r="O16" s="9">
        <v>13.0</v>
      </c>
      <c r="P16" s="9">
        <v>0.5</v>
      </c>
      <c r="Q16" s="11">
        <f t="shared" si="1"/>
        <v>6.5</v>
      </c>
      <c r="R16" s="9" t="s">
        <v>40</v>
      </c>
      <c r="U16" s="9" t="s">
        <v>41</v>
      </c>
      <c r="W16" s="9" t="s">
        <v>29</v>
      </c>
    </row>
    <row r="17">
      <c r="B17" s="9" t="s">
        <v>38</v>
      </c>
      <c r="D17" s="10" t="s">
        <v>39</v>
      </c>
      <c r="K17" s="9">
        <v>2017.0</v>
      </c>
      <c r="O17" s="9">
        <v>42.0</v>
      </c>
      <c r="P17" s="9">
        <v>0.5</v>
      </c>
      <c r="Q17" s="11">
        <f t="shared" si="1"/>
        <v>21</v>
      </c>
      <c r="R17" s="9" t="s">
        <v>42</v>
      </c>
      <c r="U17" s="9" t="s">
        <v>33</v>
      </c>
      <c r="W17" s="9" t="s">
        <v>26</v>
      </c>
    </row>
    <row r="18">
      <c r="B18" s="9" t="s">
        <v>38</v>
      </c>
      <c r="D18" s="10" t="s">
        <v>39</v>
      </c>
      <c r="K18" s="9">
        <v>2020.0</v>
      </c>
      <c r="O18" s="9">
        <v>324950.0</v>
      </c>
      <c r="P18" s="9">
        <v>0.5</v>
      </c>
      <c r="Q18" s="11">
        <f t="shared" si="1"/>
        <v>162475</v>
      </c>
      <c r="R18" s="9" t="s">
        <v>43</v>
      </c>
      <c r="U18" s="9" t="s">
        <v>41</v>
      </c>
      <c r="W18" s="9" t="s">
        <v>29</v>
      </c>
    </row>
    <row r="19">
      <c r="B19" s="9" t="s">
        <v>38</v>
      </c>
      <c r="D19" s="10" t="s">
        <v>39</v>
      </c>
      <c r="K19" s="9">
        <v>2023.0</v>
      </c>
      <c r="O19" s="9">
        <v>223.0</v>
      </c>
      <c r="P19" s="9">
        <v>0.5</v>
      </c>
      <c r="Q19" s="11">
        <f t="shared" si="1"/>
        <v>111.5</v>
      </c>
      <c r="R19" s="9" t="s">
        <v>44</v>
      </c>
      <c r="U19" s="9" t="s">
        <v>45</v>
      </c>
      <c r="W19" s="9" t="s">
        <v>26</v>
      </c>
    </row>
    <row r="20">
      <c r="B20" s="9" t="s">
        <v>38</v>
      </c>
      <c r="D20" s="10" t="s">
        <v>39</v>
      </c>
      <c r="K20" s="9">
        <v>2000.0</v>
      </c>
      <c r="O20" s="9">
        <v>42.0</v>
      </c>
      <c r="P20" s="9">
        <v>0.5</v>
      </c>
      <c r="Q20" s="11">
        <f t="shared" si="1"/>
        <v>21</v>
      </c>
      <c r="R20" s="9" t="s">
        <v>46</v>
      </c>
      <c r="U20" s="9" t="s">
        <v>25</v>
      </c>
      <c r="W20" s="9" t="s">
        <v>26</v>
      </c>
    </row>
    <row r="21">
      <c r="B21" s="9" t="s">
        <v>38</v>
      </c>
      <c r="D21" s="10" t="s">
        <v>39</v>
      </c>
      <c r="K21" s="9">
        <v>1989.0</v>
      </c>
      <c r="O21" s="9">
        <v>11.0</v>
      </c>
      <c r="P21" s="9">
        <v>0.5</v>
      </c>
      <c r="Q21" s="11">
        <f t="shared" si="1"/>
        <v>5.5</v>
      </c>
      <c r="R21" s="12" t="s">
        <v>24</v>
      </c>
      <c r="U21" s="9" t="s">
        <v>47</v>
      </c>
      <c r="W21" s="9" t="s">
        <v>29</v>
      </c>
    </row>
    <row r="22">
      <c r="B22" s="9" t="s">
        <v>38</v>
      </c>
      <c r="D22" s="10" t="s">
        <v>39</v>
      </c>
      <c r="K22" s="9">
        <v>2011.0</v>
      </c>
      <c r="O22" s="9">
        <v>234.0</v>
      </c>
      <c r="P22" s="9">
        <v>0.38</v>
      </c>
      <c r="Q22" s="11">
        <f t="shared" si="1"/>
        <v>88.92</v>
      </c>
      <c r="R22" s="12" t="s">
        <v>27</v>
      </c>
      <c r="U22" s="9" t="s">
        <v>48</v>
      </c>
      <c r="W22" s="9" t="s">
        <v>26</v>
      </c>
    </row>
    <row r="23">
      <c r="B23" s="9" t="s">
        <v>38</v>
      </c>
      <c r="D23" s="10" t="s">
        <v>39</v>
      </c>
      <c r="K23" s="9">
        <v>2019.0</v>
      </c>
      <c r="O23" s="9">
        <v>4543.0</v>
      </c>
      <c r="P23" s="9">
        <v>0.38</v>
      </c>
      <c r="Q23" s="11">
        <f t="shared" si="1"/>
        <v>1726.34</v>
      </c>
      <c r="R23" s="12" t="s">
        <v>30</v>
      </c>
      <c r="U23" s="9" t="s">
        <v>49</v>
      </c>
      <c r="W23" s="9" t="s">
        <v>29</v>
      </c>
    </row>
    <row r="24">
      <c r="B24" s="9" t="s">
        <v>38</v>
      </c>
      <c r="D24" s="10" t="s">
        <v>39</v>
      </c>
      <c r="K24" s="9">
        <v>2022.0</v>
      </c>
      <c r="O24" s="9">
        <v>632.0</v>
      </c>
      <c r="P24" s="9">
        <v>0.38</v>
      </c>
      <c r="Q24" s="11">
        <f t="shared" si="1"/>
        <v>240.16</v>
      </c>
      <c r="R24" s="12" t="s">
        <v>24</v>
      </c>
      <c r="U24" s="9" t="s">
        <v>50</v>
      </c>
      <c r="W24" s="9" t="s">
        <v>26</v>
      </c>
    </row>
    <row r="25">
      <c r="B25" s="9" t="s">
        <v>38</v>
      </c>
      <c r="D25" s="10" t="s">
        <v>39</v>
      </c>
      <c r="K25" s="9">
        <v>2020.0</v>
      </c>
      <c r="O25" s="9">
        <v>24556.0</v>
      </c>
      <c r="P25" s="9">
        <v>0.38</v>
      </c>
      <c r="Q25" s="11">
        <f t="shared" si="1"/>
        <v>9331.28</v>
      </c>
      <c r="R25" s="12" t="s">
        <v>27</v>
      </c>
      <c r="U25" s="9" t="s">
        <v>28</v>
      </c>
      <c r="W25" s="9" t="s">
        <v>26</v>
      </c>
    </row>
    <row r="26">
      <c r="B26" s="9" t="s">
        <v>38</v>
      </c>
      <c r="D26" s="10" t="s">
        <v>39</v>
      </c>
      <c r="K26" s="9">
        <v>2000.0</v>
      </c>
      <c r="O26" s="9">
        <v>321.0</v>
      </c>
      <c r="P26" s="9">
        <v>0.38</v>
      </c>
      <c r="Q26" s="11">
        <f t="shared" si="1"/>
        <v>121.98</v>
      </c>
      <c r="R26" s="12" t="s">
        <v>40</v>
      </c>
      <c r="U26" s="9" t="s">
        <v>41</v>
      </c>
      <c r="W26" s="9" t="s">
        <v>29</v>
      </c>
    </row>
    <row r="27">
      <c r="B27" s="9" t="s">
        <v>38</v>
      </c>
      <c r="D27" s="10" t="s">
        <v>39</v>
      </c>
      <c r="K27" s="9">
        <v>1999.0</v>
      </c>
      <c r="O27" s="9">
        <v>441.0</v>
      </c>
      <c r="P27" s="9">
        <v>0.38</v>
      </c>
      <c r="Q27" s="11">
        <f t="shared" si="1"/>
        <v>167.58</v>
      </c>
      <c r="R27" s="12" t="s">
        <v>42</v>
      </c>
      <c r="U27" s="9" t="s">
        <v>45</v>
      </c>
      <c r="W27" s="9" t="s">
        <v>26</v>
      </c>
    </row>
    <row r="28">
      <c r="B28" s="9" t="s">
        <v>38</v>
      </c>
      <c r="D28" s="10" t="s">
        <v>39</v>
      </c>
      <c r="K28" s="9">
        <v>1996.0</v>
      </c>
      <c r="O28" s="9">
        <v>24.0</v>
      </c>
      <c r="P28" s="9">
        <v>0.38</v>
      </c>
      <c r="Q28" s="11">
        <f t="shared" si="1"/>
        <v>9.12</v>
      </c>
      <c r="R28" s="12" t="s">
        <v>43</v>
      </c>
      <c r="U28" s="9" t="s">
        <v>25</v>
      </c>
      <c r="W28" s="9" t="s">
        <v>29</v>
      </c>
    </row>
    <row r="29">
      <c r="B29" s="9" t="s">
        <v>38</v>
      </c>
      <c r="D29" s="10" t="s">
        <v>39</v>
      </c>
      <c r="K29" s="9">
        <v>2014.0</v>
      </c>
      <c r="O29" s="9">
        <v>33222.0</v>
      </c>
      <c r="P29" s="9">
        <v>0.38</v>
      </c>
      <c r="Q29" s="11">
        <f t="shared" si="1"/>
        <v>12624.36</v>
      </c>
      <c r="R29" s="12" t="s">
        <v>44</v>
      </c>
      <c r="U29" s="9" t="s">
        <v>47</v>
      </c>
      <c r="W29" s="9" t="s">
        <v>26</v>
      </c>
    </row>
    <row r="30">
      <c r="B30" s="9" t="s">
        <v>38</v>
      </c>
      <c r="D30" s="10" t="s">
        <v>39</v>
      </c>
      <c r="K30" s="9">
        <v>2012.0</v>
      </c>
      <c r="O30" s="9">
        <v>5553.0</v>
      </c>
      <c r="P30" s="9">
        <v>0.38</v>
      </c>
      <c r="Q30" s="11">
        <f t="shared" si="1"/>
        <v>2110.14</v>
      </c>
      <c r="R30" s="12" t="s">
        <v>46</v>
      </c>
      <c r="U30" s="9" t="s">
        <v>48</v>
      </c>
      <c r="W30" s="9" t="s">
        <v>26</v>
      </c>
    </row>
    <row r="31">
      <c r="B31" s="9" t="s">
        <v>38</v>
      </c>
      <c r="D31" s="10" t="s">
        <v>39</v>
      </c>
      <c r="K31" s="9">
        <v>2013.0</v>
      </c>
      <c r="O31" s="9">
        <v>5666.0</v>
      </c>
      <c r="P31" s="9">
        <v>0.38</v>
      </c>
      <c r="Q31" s="11">
        <f t="shared" si="1"/>
        <v>2153.08</v>
      </c>
      <c r="R31" s="12" t="s">
        <v>24</v>
      </c>
      <c r="U31" s="9" t="s">
        <v>49</v>
      </c>
      <c r="W31" s="9" t="s">
        <v>29</v>
      </c>
    </row>
    <row r="32">
      <c r="B32" s="9" t="s">
        <v>38</v>
      </c>
      <c r="D32" s="10" t="s">
        <v>39</v>
      </c>
      <c r="K32" s="9">
        <v>2017.0</v>
      </c>
      <c r="O32" s="9">
        <v>22.0</v>
      </c>
      <c r="P32" s="9">
        <v>0.38</v>
      </c>
      <c r="Q32" s="11">
        <f t="shared" si="1"/>
        <v>8.36</v>
      </c>
      <c r="R32" s="12" t="s">
        <v>27</v>
      </c>
      <c r="U32" s="9" t="s">
        <v>50</v>
      </c>
      <c r="W32" s="9" t="s">
        <v>26</v>
      </c>
    </row>
    <row r="33">
      <c r="B33" s="9" t="s">
        <v>38</v>
      </c>
      <c r="D33" s="10" t="s">
        <v>39</v>
      </c>
      <c r="K33" s="9">
        <v>2020.0</v>
      </c>
      <c r="O33" s="9">
        <v>124555.0</v>
      </c>
      <c r="P33" s="9">
        <v>0.380000000000001</v>
      </c>
      <c r="Q33" s="11">
        <f t="shared" si="1"/>
        <v>47330.9</v>
      </c>
      <c r="R33" s="12" t="s">
        <v>30</v>
      </c>
      <c r="U33" s="9" t="s">
        <v>51</v>
      </c>
      <c r="W33" s="9" t="s">
        <v>29</v>
      </c>
    </row>
    <row r="34">
      <c r="B34" s="9" t="s">
        <v>38</v>
      </c>
      <c r="D34" s="10" t="s">
        <v>39</v>
      </c>
      <c r="K34" s="9">
        <v>2023.0</v>
      </c>
      <c r="O34" s="9">
        <v>28471.0</v>
      </c>
      <c r="P34" s="9">
        <v>0.380000000000001</v>
      </c>
      <c r="Q34" s="11">
        <f t="shared" si="1"/>
        <v>10818.98</v>
      </c>
      <c r="R34" s="12" t="s">
        <v>24</v>
      </c>
      <c r="U34" s="9" t="s">
        <v>25</v>
      </c>
      <c r="W34" s="9" t="s">
        <v>26</v>
      </c>
    </row>
    <row r="35">
      <c r="B35" s="9" t="s">
        <v>38</v>
      </c>
      <c r="D35" s="10" t="s">
        <v>39</v>
      </c>
      <c r="K35" s="9">
        <v>2000.0</v>
      </c>
      <c r="O35" s="9">
        <v>48093.0</v>
      </c>
      <c r="P35" s="9">
        <v>0.380000000000001</v>
      </c>
      <c r="Q35" s="11">
        <f t="shared" si="1"/>
        <v>18275.34</v>
      </c>
      <c r="R35" s="12" t="s">
        <v>27</v>
      </c>
      <c r="U35" s="9" t="s">
        <v>51</v>
      </c>
      <c r="W35" s="9" t="s">
        <v>26</v>
      </c>
    </row>
    <row r="36">
      <c r="B36" s="9" t="s">
        <v>38</v>
      </c>
      <c r="D36" s="10" t="s">
        <v>39</v>
      </c>
      <c r="K36" s="9">
        <v>1989.0</v>
      </c>
      <c r="O36" s="9">
        <v>67715.0</v>
      </c>
      <c r="P36" s="9">
        <v>0.380000000000001</v>
      </c>
      <c r="Q36" s="11">
        <f t="shared" si="1"/>
        <v>25731.7</v>
      </c>
      <c r="R36" s="12" t="s">
        <v>40</v>
      </c>
      <c r="U36" s="9" t="s">
        <v>32</v>
      </c>
      <c r="W36" s="9" t="s">
        <v>29</v>
      </c>
    </row>
    <row r="37">
      <c r="B37" s="9" t="s">
        <v>38</v>
      </c>
      <c r="D37" s="10" t="s">
        <v>39</v>
      </c>
      <c r="K37" s="9">
        <v>2011.0</v>
      </c>
      <c r="O37" s="9">
        <v>87337.0</v>
      </c>
      <c r="P37" s="9">
        <v>0.380000000000001</v>
      </c>
      <c r="Q37" s="11">
        <f t="shared" si="1"/>
        <v>33188.06</v>
      </c>
      <c r="R37" s="12" t="s">
        <v>42</v>
      </c>
      <c r="U37" s="9" t="s">
        <v>52</v>
      </c>
      <c r="W37" s="9" t="s">
        <v>26</v>
      </c>
    </row>
    <row r="38">
      <c r="B38" s="9" t="s">
        <v>38</v>
      </c>
      <c r="D38" s="10" t="s">
        <v>39</v>
      </c>
      <c r="K38" s="9">
        <v>2019.0</v>
      </c>
      <c r="O38" s="9">
        <v>106959.0</v>
      </c>
      <c r="P38" s="9">
        <v>0.380000000000001</v>
      </c>
      <c r="Q38" s="11">
        <f t="shared" si="1"/>
        <v>40644.42</v>
      </c>
      <c r="R38" s="12" t="s">
        <v>43</v>
      </c>
      <c r="U38" s="9" t="s">
        <v>53</v>
      </c>
      <c r="W38" s="9" t="s">
        <v>29</v>
      </c>
    </row>
    <row r="39">
      <c r="B39" s="9" t="s">
        <v>38</v>
      </c>
      <c r="D39" s="10" t="s">
        <v>39</v>
      </c>
      <c r="K39" s="9">
        <v>2022.0</v>
      </c>
      <c r="O39" s="9">
        <v>126581.0</v>
      </c>
      <c r="P39" s="9">
        <v>0.380000000000001</v>
      </c>
      <c r="Q39" s="11">
        <f t="shared" si="1"/>
        <v>48100.78</v>
      </c>
      <c r="R39" s="12" t="s">
        <v>44</v>
      </c>
      <c r="U39" s="9" t="s">
        <v>52</v>
      </c>
      <c r="W39" s="9" t="s">
        <v>26</v>
      </c>
    </row>
    <row r="40">
      <c r="B40" s="9" t="s">
        <v>38</v>
      </c>
      <c r="D40" s="10" t="s">
        <v>39</v>
      </c>
      <c r="K40" s="9">
        <v>2020.0</v>
      </c>
      <c r="O40" s="9">
        <v>146203.0</v>
      </c>
      <c r="P40" s="9">
        <v>0.380000000000001</v>
      </c>
      <c r="Q40" s="11">
        <f t="shared" si="1"/>
        <v>55557.14</v>
      </c>
      <c r="R40" s="12" t="s">
        <v>46</v>
      </c>
      <c r="U40" s="9" t="s">
        <v>54</v>
      </c>
      <c r="W40" s="9" t="s">
        <v>26</v>
      </c>
    </row>
    <row r="41">
      <c r="B41" s="9" t="s">
        <v>38</v>
      </c>
      <c r="D41" s="10" t="s">
        <v>39</v>
      </c>
      <c r="K41" s="9">
        <v>2000.0</v>
      </c>
      <c r="O41" s="9">
        <v>165825.0</v>
      </c>
      <c r="P41" s="9">
        <v>0.380000000000001</v>
      </c>
      <c r="Q41" s="11">
        <f t="shared" si="1"/>
        <v>63013.5</v>
      </c>
      <c r="R41" s="12" t="s">
        <v>24</v>
      </c>
      <c r="U41" s="9" t="s">
        <v>36</v>
      </c>
      <c r="W41" s="9" t="s">
        <v>29</v>
      </c>
    </row>
    <row r="42">
      <c r="B42" s="9" t="s">
        <v>38</v>
      </c>
      <c r="D42" s="10" t="s">
        <v>39</v>
      </c>
      <c r="K42" s="9">
        <v>1999.0</v>
      </c>
      <c r="O42" s="9">
        <v>185447.0</v>
      </c>
      <c r="P42" s="9">
        <v>0.380000000000001</v>
      </c>
      <c r="Q42" s="11">
        <f t="shared" si="1"/>
        <v>70469.86</v>
      </c>
      <c r="R42" s="12" t="s">
        <v>27</v>
      </c>
      <c r="U42" s="9" t="s">
        <v>41</v>
      </c>
      <c r="W42" s="9" t="s">
        <v>26</v>
      </c>
    </row>
    <row r="43">
      <c r="B43" s="9" t="s">
        <v>55</v>
      </c>
      <c r="D43" s="10" t="s">
        <v>56</v>
      </c>
      <c r="K43" s="9">
        <v>1996.0</v>
      </c>
      <c r="O43" s="9">
        <v>205069.0</v>
      </c>
      <c r="P43" s="9">
        <v>0.380000000000001</v>
      </c>
      <c r="Q43" s="11">
        <f t="shared" si="1"/>
        <v>77926.22</v>
      </c>
      <c r="R43" s="12" t="s">
        <v>30</v>
      </c>
      <c r="U43" s="9" t="s">
        <v>57</v>
      </c>
      <c r="W43" s="9" t="s">
        <v>29</v>
      </c>
    </row>
    <row r="44">
      <c r="B44" s="9" t="s">
        <v>55</v>
      </c>
      <c r="D44" s="10" t="s">
        <v>56</v>
      </c>
      <c r="K44" s="9">
        <v>2014.0</v>
      </c>
      <c r="O44" s="9">
        <v>224691.0</v>
      </c>
      <c r="P44" s="9">
        <v>0.7</v>
      </c>
      <c r="Q44" s="11">
        <f t="shared" si="1"/>
        <v>157283.7</v>
      </c>
      <c r="R44" s="12" t="s">
        <v>24</v>
      </c>
      <c r="U44" s="9" t="s">
        <v>35</v>
      </c>
      <c r="W44" s="9" t="s">
        <v>26</v>
      </c>
    </row>
    <row r="45">
      <c r="B45" s="9" t="s">
        <v>55</v>
      </c>
      <c r="D45" s="10" t="s">
        <v>56</v>
      </c>
      <c r="K45" s="9">
        <v>2012.0</v>
      </c>
      <c r="O45" s="9">
        <v>244313.0</v>
      </c>
      <c r="P45" s="9">
        <v>0.7</v>
      </c>
      <c r="Q45" s="11">
        <f t="shared" si="1"/>
        <v>171019.1</v>
      </c>
      <c r="R45" s="12" t="s">
        <v>27</v>
      </c>
      <c r="U45" s="9" t="s">
        <v>58</v>
      </c>
      <c r="W45" s="9" t="s">
        <v>26</v>
      </c>
    </row>
    <row r="46">
      <c r="B46" s="9" t="s">
        <v>55</v>
      </c>
      <c r="D46" s="10" t="s">
        <v>56</v>
      </c>
      <c r="K46" s="9">
        <v>2013.0</v>
      </c>
      <c r="O46" s="9">
        <v>263935.0</v>
      </c>
      <c r="P46" s="9">
        <v>0.7</v>
      </c>
      <c r="Q46" s="11">
        <f t="shared" si="1"/>
        <v>184754.5</v>
      </c>
      <c r="R46" s="12" t="s">
        <v>40</v>
      </c>
      <c r="U46" s="9" t="s">
        <v>59</v>
      </c>
      <c r="W46" s="9" t="s">
        <v>29</v>
      </c>
    </row>
    <row r="47">
      <c r="B47" s="9" t="s">
        <v>55</v>
      </c>
      <c r="D47" s="10" t="s">
        <v>56</v>
      </c>
      <c r="K47" s="9">
        <v>2017.0</v>
      </c>
      <c r="O47" s="9">
        <v>283557.0</v>
      </c>
      <c r="P47" s="9">
        <v>0.7</v>
      </c>
      <c r="Q47" s="11">
        <f t="shared" si="1"/>
        <v>198489.9</v>
      </c>
      <c r="R47" s="12" t="s">
        <v>42</v>
      </c>
      <c r="U47" s="9" t="s">
        <v>60</v>
      </c>
      <c r="W47" s="9" t="s">
        <v>26</v>
      </c>
    </row>
    <row r="48">
      <c r="B48" s="9" t="s">
        <v>55</v>
      </c>
      <c r="D48" s="10" t="s">
        <v>56</v>
      </c>
      <c r="K48" s="9">
        <v>2020.0</v>
      </c>
      <c r="O48" s="9">
        <v>84773.0</v>
      </c>
      <c r="P48" s="9">
        <v>0.7</v>
      </c>
      <c r="Q48" s="11">
        <f t="shared" si="1"/>
        <v>59341.1</v>
      </c>
      <c r="R48" s="12" t="s">
        <v>43</v>
      </c>
      <c r="U48" s="9" t="s">
        <v>33</v>
      </c>
      <c r="W48" s="9" t="s">
        <v>29</v>
      </c>
    </row>
    <row r="49">
      <c r="B49" s="9" t="s">
        <v>55</v>
      </c>
      <c r="D49" s="10" t="s">
        <v>56</v>
      </c>
      <c r="K49" s="9">
        <v>2023.0</v>
      </c>
      <c r="O49" s="9">
        <v>2224.0</v>
      </c>
      <c r="P49" s="9">
        <v>0.7</v>
      </c>
      <c r="Q49" s="11">
        <f t="shared" si="1"/>
        <v>1556.8</v>
      </c>
      <c r="R49" s="12" t="s">
        <v>44</v>
      </c>
      <c r="U49" s="9" t="s">
        <v>48</v>
      </c>
      <c r="W49" s="9" t="s">
        <v>26</v>
      </c>
    </row>
    <row r="50">
      <c r="B50" s="9" t="s">
        <v>55</v>
      </c>
      <c r="D50" s="10" t="s">
        <v>56</v>
      </c>
      <c r="K50" s="9">
        <v>2000.0</v>
      </c>
      <c r="O50" s="9">
        <v>555.0</v>
      </c>
      <c r="P50" s="9">
        <v>0.7</v>
      </c>
      <c r="Q50" s="11">
        <f t="shared" si="1"/>
        <v>388.5</v>
      </c>
      <c r="R50" s="12" t="s">
        <v>46</v>
      </c>
      <c r="U50" s="9" t="s">
        <v>61</v>
      </c>
      <c r="W50" s="9" t="s">
        <v>26</v>
      </c>
    </row>
    <row r="51">
      <c r="B51" s="9" t="s">
        <v>55</v>
      </c>
      <c r="D51" s="10" t="s">
        <v>56</v>
      </c>
      <c r="K51" s="9">
        <v>1989.0</v>
      </c>
      <c r="O51" s="9">
        <v>21.0</v>
      </c>
      <c r="P51" s="9">
        <v>0.7</v>
      </c>
      <c r="Q51" s="11">
        <f t="shared" si="1"/>
        <v>14.7</v>
      </c>
      <c r="R51" s="12" t="s">
        <v>24</v>
      </c>
      <c r="U51" s="9" t="s">
        <v>41</v>
      </c>
      <c r="W51" s="9" t="s">
        <v>29</v>
      </c>
    </row>
    <row r="52">
      <c r="B52" s="9" t="s">
        <v>55</v>
      </c>
      <c r="D52" s="10" t="s">
        <v>56</v>
      </c>
      <c r="K52" s="9">
        <v>2011.0</v>
      </c>
      <c r="O52" s="9">
        <v>2222.0</v>
      </c>
      <c r="P52" s="9">
        <v>0.7</v>
      </c>
      <c r="Q52" s="11">
        <f t="shared" si="1"/>
        <v>1555.4</v>
      </c>
      <c r="R52" s="12" t="s">
        <v>27</v>
      </c>
      <c r="U52" s="9" t="s">
        <v>62</v>
      </c>
      <c r="W52" s="9" t="s">
        <v>26</v>
      </c>
    </row>
    <row r="53">
      <c r="B53" s="9" t="s">
        <v>55</v>
      </c>
      <c r="D53" s="10" t="s">
        <v>56</v>
      </c>
      <c r="K53" s="9">
        <v>2019.0</v>
      </c>
      <c r="O53" s="9">
        <v>445996.0</v>
      </c>
      <c r="P53" s="9">
        <v>0.7</v>
      </c>
      <c r="Q53" s="11">
        <f t="shared" si="1"/>
        <v>312197.2</v>
      </c>
      <c r="R53" s="12" t="s">
        <v>30</v>
      </c>
      <c r="U53" s="9" t="s">
        <v>35</v>
      </c>
      <c r="W53" s="9" t="s">
        <v>29</v>
      </c>
    </row>
    <row r="54">
      <c r="B54" s="9" t="s">
        <v>55</v>
      </c>
      <c r="D54" s="10" t="s">
        <v>56</v>
      </c>
      <c r="K54" s="9">
        <v>2022.0</v>
      </c>
      <c r="O54" s="9">
        <v>244313.0</v>
      </c>
      <c r="P54" s="9">
        <v>0.7</v>
      </c>
      <c r="Q54" s="11">
        <f t="shared" si="1"/>
        <v>171019.1</v>
      </c>
      <c r="R54" s="12" t="s">
        <v>24</v>
      </c>
      <c r="U54" s="9" t="s">
        <v>58</v>
      </c>
      <c r="W54" s="9" t="s">
        <v>26</v>
      </c>
    </row>
    <row r="55">
      <c r="B55" s="9" t="s">
        <v>55</v>
      </c>
      <c r="D55" s="10" t="s">
        <v>56</v>
      </c>
      <c r="K55" s="9">
        <v>2020.0</v>
      </c>
      <c r="O55" s="9">
        <v>263935.0</v>
      </c>
      <c r="P55" s="9">
        <v>0.7</v>
      </c>
      <c r="Q55" s="11">
        <f t="shared" si="1"/>
        <v>184754.5</v>
      </c>
      <c r="R55" s="12" t="s">
        <v>27</v>
      </c>
      <c r="U55" s="9" t="s">
        <v>59</v>
      </c>
      <c r="W55" s="9" t="s">
        <v>26</v>
      </c>
    </row>
    <row r="56">
      <c r="B56" s="9" t="s">
        <v>55</v>
      </c>
      <c r="D56" s="10" t="s">
        <v>56</v>
      </c>
      <c r="K56" s="9">
        <v>2000.0</v>
      </c>
      <c r="O56" s="9">
        <v>283557.0</v>
      </c>
      <c r="P56" s="9">
        <v>0.7</v>
      </c>
      <c r="Q56" s="11">
        <f t="shared" si="1"/>
        <v>198489.9</v>
      </c>
      <c r="R56" s="12" t="s">
        <v>40</v>
      </c>
      <c r="U56" s="9" t="s">
        <v>60</v>
      </c>
      <c r="W56" s="9" t="s">
        <v>29</v>
      </c>
    </row>
    <row r="57">
      <c r="B57" s="9" t="s">
        <v>55</v>
      </c>
      <c r="D57" s="10" t="s">
        <v>56</v>
      </c>
      <c r="K57" s="9">
        <v>1999.0</v>
      </c>
      <c r="O57" s="9">
        <v>84773.0</v>
      </c>
      <c r="P57" s="9">
        <v>0.7</v>
      </c>
      <c r="Q57" s="11">
        <f t="shared" si="1"/>
        <v>59341.1</v>
      </c>
      <c r="R57" s="12" t="s">
        <v>42</v>
      </c>
      <c r="U57" s="9" t="s">
        <v>33</v>
      </c>
      <c r="W57" s="9" t="s">
        <v>26</v>
      </c>
    </row>
    <row r="58">
      <c r="B58" s="9" t="s">
        <v>55</v>
      </c>
      <c r="D58" s="10" t="s">
        <v>56</v>
      </c>
      <c r="K58" s="9">
        <v>1996.0</v>
      </c>
      <c r="O58" s="9">
        <v>2224.0</v>
      </c>
      <c r="P58" s="9">
        <v>0.7</v>
      </c>
      <c r="Q58" s="11">
        <f t="shared" si="1"/>
        <v>1556.8</v>
      </c>
      <c r="R58" s="12" t="s">
        <v>43</v>
      </c>
      <c r="U58" s="9" t="s">
        <v>50</v>
      </c>
      <c r="W58" s="9" t="s">
        <v>29</v>
      </c>
    </row>
    <row r="59">
      <c r="B59" s="9" t="s">
        <v>55</v>
      </c>
      <c r="D59" s="10" t="s">
        <v>56</v>
      </c>
      <c r="K59" s="9">
        <v>2014.0</v>
      </c>
      <c r="O59" s="9">
        <v>555.0</v>
      </c>
      <c r="P59" s="9">
        <v>0.7</v>
      </c>
      <c r="Q59" s="11">
        <f t="shared" si="1"/>
        <v>388.5</v>
      </c>
      <c r="R59" s="12" t="s">
        <v>44</v>
      </c>
      <c r="U59" s="9" t="s">
        <v>61</v>
      </c>
      <c r="W59" s="9" t="s">
        <v>26</v>
      </c>
    </row>
    <row r="60">
      <c r="B60" s="9" t="s">
        <v>55</v>
      </c>
      <c r="D60" s="10" t="s">
        <v>56</v>
      </c>
      <c r="K60" s="9">
        <v>2012.0</v>
      </c>
      <c r="O60" s="9">
        <v>21.0</v>
      </c>
      <c r="P60" s="9">
        <v>0.7</v>
      </c>
      <c r="Q60" s="11">
        <f t="shared" si="1"/>
        <v>14.7</v>
      </c>
      <c r="R60" s="12" t="s">
        <v>46</v>
      </c>
      <c r="U60" s="9" t="s">
        <v>32</v>
      </c>
      <c r="W60" s="9" t="s">
        <v>26</v>
      </c>
    </row>
    <row r="61">
      <c r="B61" s="9" t="s">
        <v>55</v>
      </c>
      <c r="D61" s="10" t="s">
        <v>56</v>
      </c>
      <c r="K61" s="9">
        <v>2013.0</v>
      </c>
      <c r="O61" s="9">
        <v>2222.0</v>
      </c>
      <c r="P61" s="9">
        <v>0.7</v>
      </c>
      <c r="Q61" s="11">
        <f t="shared" si="1"/>
        <v>1555.4</v>
      </c>
      <c r="R61" s="12" t="s">
        <v>24</v>
      </c>
      <c r="U61" s="9" t="s">
        <v>45</v>
      </c>
      <c r="W61" s="9" t="s">
        <v>29</v>
      </c>
    </row>
    <row r="62">
      <c r="B62" s="9" t="s">
        <v>55</v>
      </c>
      <c r="D62" s="10" t="s">
        <v>56</v>
      </c>
      <c r="K62" s="9">
        <v>1997.0</v>
      </c>
      <c r="O62" s="9">
        <v>445996.0</v>
      </c>
      <c r="P62" s="9">
        <v>0.7</v>
      </c>
      <c r="Q62" s="11">
        <f t="shared" si="1"/>
        <v>312197.2</v>
      </c>
      <c r="R62" s="12" t="s">
        <v>27</v>
      </c>
      <c r="U62" s="9" t="s">
        <v>41</v>
      </c>
      <c r="W62" s="9" t="s">
        <v>26</v>
      </c>
    </row>
    <row r="63">
      <c r="B63" s="9" t="s">
        <v>55</v>
      </c>
      <c r="D63" s="10" t="s">
        <v>56</v>
      </c>
      <c r="K63" s="9">
        <v>1998.0</v>
      </c>
      <c r="O63" s="9">
        <v>95035.916666667</v>
      </c>
      <c r="P63" s="9">
        <v>0.7</v>
      </c>
      <c r="Q63" s="11">
        <f t="shared" si="1"/>
        <v>66525.14167</v>
      </c>
      <c r="R63" s="12" t="s">
        <v>30</v>
      </c>
      <c r="U63" s="9" t="s">
        <v>63</v>
      </c>
      <c r="W63" s="9" t="s">
        <v>29</v>
      </c>
    </row>
    <row r="64">
      <c r="B64" s="9" t="s">
        <v>55</v>
      </c>
      <c r="D64" s="10" t="s">
        <v>56</v>
      </c>
      <c r="K64" s="9">
        <v>2003.0</v>
      </c>
      <c r="O64" s="9">
        <v>84540.966666667</v>
      </c>
      <c r="P64" s="9">
        <v>0.7</v>
      </c>
      <c r="Q64" s="11">
        <f t="shared" si="1"/>
        <v>59178.67667</v>
      </c>
      <c r="R64" s="12" t="s">
        <v>24</v>
      </c>
      <c r="U64" s="9" t="s">
        <v>31</v>
      </c>
      <c r="W64" s="9" t="s">
        <v>26</v>
      </c>
    </row>
    <row r="65">
      <c r="B65" s="9" t="s">
        <v>55</v>
      </c>
      <c r="D65" s="10" t="s">
        <v>56</v>
      </c>
      <c r="K65" s="9">
        <v>2004.0</v>
      </c>
      <c r="O65" s="9">
        <v>74046.016666667</v>
      </c>
      <c r="P65" s="9">
        <v>0.7</v>
      </c>
      <c r="Q65" s="11">
        <f t="shared" si="1"/>
        <v>51832.21167</v>
      </c>
      <c r="R65" s="12" t="s">
        <v>27</v>
      </c>
      <c r="U65" s="9" t="s">
        <v>58</v>
      </c>
      <c r="W65" s="9" t="s">
        <v>26</v>
      </c>
    </row>
    <row r="66">
      <c r="B66" s="9" t="s">
        <v>55</v>
      </c>
      <c r="D66" s="10" t="s">
        <v>56</v>
      </c>
      <c r="K66" s="9">
        <v>2005.0</v>
      </c>
      <c r="O66" s="9">
        <v>63551.066666667</v>
      </c>
      <c r="P66" s="9">
        <v>0.7</v>
      </c>
      <c r="Q66" s="11">
        <f t="shared" si="1"/>
        <v>44485.74667</v>
      </c>
      <c r="R66" s="12" t="s">
        <v>40</v>
      </c>
      <c r="U66" s="9" t="s">
        <v>54</v>
      </c>
      <c r="W66" s="9" t="s">
        <v>29</v>
      </c>
    </row>
    <row r="67">
      <c r="B67" s="9" t="s">
        <v>55</v>
      </c>
      <c r="D67" s="10" t="s">
        <v>56</v>
      </c>
      <c r="K67" s="9">
        <v>2008.0</v>
      </c>
      <c r="O67" s="9">
        <v>342.0</v>
      </c>
      <c r="P67" s="9">
        <v>0.7</v>
      </c>
      <c r="Q67" s="11">
        <f t="shared" si="1"/>
        <v>239.4</v>
      </c>
      <c r="R67" s="12" t="s">
        <v>42</v>
      </c>
      <c r="U67" s="9" t="s">
        <v>28</v>
      </c>
      <c r="W67" s="9" t="s">
        <v>26</v>
      </c>
    </row>
    <row r="68">
      <c r="B68" s="9" t="s">
        <v>55</v>
      </c>
      <c r="D68" s="10" t="s">
        <v>56</v>
      </c>
      <c r="K68" s="9">
        <v>2010.0</v>
      </c>
      <c r="O68" s="9">
        <v>2224.0</v>
      </c>
      <c r="P68" s="9">
        <v>0.7</v>
      </c>
      <c r="Q68" s="11">
        <f t="shared" si="1"/>
        <v>1556.8</v>
      </c>
      <c r="R68" s="12" t="s">
        <v>43</v>
      </c>
      <c r="U68" s="9" t="s">
        <v>25</v>
      </c>
      <c r="W68" s="9" t="s">
        <v>29</v>
      </c>
    </row>
    <row r="69">
      <c r="B69" s="9" t="s">
        <v>55</v>
      </c>
      <c r="D69" s="10" t="s">
        <v>56</v>
      </c>
      <c r="K69" s="9">
        <v>2001.0</v>
      </c>
      <c r="O69" s="9">
        <v>231.0</v>
      </c>
      <c r="P69" s="9">
        <v>0.7</v>
      </c>
      <c r="Q69" s="11">
        <f t="shared" si="1"/>
        <v>161.7</v>
      </c>
      <c r="R69" s="12" t="s">
        <v>44</v>
      </c>
      <c r="U69" s="9" t="s">
        <v>45</v>
      </c>
      <c r="W69" s="9" t="s">
        <v>26</v>
      </c>
    </row>
    <row r="70">
      <c r="B70" s="9" t="s">
        <v>64</v>
      </c>
      <c r="D70" s="9" t="s">
        <v>65</v>
      </c>
      <c r="K70" s="9">
        <v>2013.0</v>
      </c>
      <c r="O70" s="9">
        <v>821.333333333333</v>
      </c>
      <c r="P70" s="9">
        <v>0.7</v>
      </c>
      <c r="Q70" s="11">
        <f t="shared" si="1"/>
        <v>574.9333333</v>
      </c>
      <c r="R70" s="12" t="s">
        <v>46</v>
      </c>
      <c r="U70" s="9" t="s">
        <v>41</v>
      </c>
      <c r="W70" s="9" t="s">
        <v>26</v>
      </c>
    </row>
    <row r="71">
      <c r="B71" s="9" t="s">
        <v>64</v>
      </c>
      <c r="D71" s="9" t="s">
        <v>65</v>
      </c>
      <c r="K71" s="9">
        <v>2014.0</v>
      </c>
      <c r="O71" s="9">
        <v>765.833333333333</v>
      </c>
      <c r="P71" s="9">
        <v>0.7</v>
      </c>
      <c r="Q71" s="11">
        <f t="shared" si="1"/>
        <v>536.0833333</v>
      </c>
      <c r="R71" s="12" t="s">
        <v>24</v>
      </c>
      <c r="U71" s="9" t="s">
        <v>63</v>
      </c>
      <c r="W71" s="9" t="s">
        <v>29</v>
      </c>
    </row>
    <row r="72">
      <c r="B72" s="9" t="s">
        <v>64</v>
      </c>
      <c r="D72" s="9" t="s">
        <v>65</v>
      </c>
      <c r="K72" s="9">
        <v>2015.0</v>
      </c>
      <c r="O72" s="9">
        <v>710.333333333333</v>
      </c>
      <c r="P72" s="9">
        <v>0.7</v>
      </c>
      <c r="Q72" s="11">
        <f t="shared" si="1"/>
        <v>497.2333333</v>
      </c>
      <c r="R72" s="12" t="s">
        <v>27</v>
      </c>
      <c r="U72" s="9" t="s">
        <v>53</v>
      </c>
      <c r="W72" s="9" t="s">
        <v>26</v>
      </c>
    </row>
    <row r="73">
      <c r="B73" s="9" t="s">
        <v>64</v>
      </c>
      <c r="D73" s="9" t="s">
        <v>65</v>
      </c>
      <c r="K73" s="9">
        <v>2019.0</v>
      </c>
      <c r="O73" s="9">
        <v>654.833333333333</v>
      </c>
      <c r="P73" s="9">
        <v>0.7</v>
      </c>
      <c r="Q73" s="11">
        <f t="shared" si="1"/>
        <v>458.3833333</v>
      </c>
      <c r="R73" s="12" t="s">
        <v>30</v>
      </c>
      <c r="U73" s="9" t="s">
        <v>34</v>
      </c>
      <c r="W73" s="9" t="s">
        <v>29</v>
      </c>
    </row>
    <row r="74">
      <c r="B74" s="9" t="s">
        <v>64</v>
      </c>
      <c r="D74" s="9" t="s">
        <v>65</v>
      </c>
      <c r="K74" s="9">
        <v>2024.0</v>
      </c>
      <c r="O74" s="9">
        <v>599.333333333333</v>
      </c>
      <c r="P74" s="9">
        <v>0.7</v>
      </c>
      <c r="Q74" s="11">
        <f t="shared" si="1"/>
        <v>419.5333333</v>
      </c>
      <c r="R74" s="12" t="s">
        <v>24</v>
      </c>
      <c r="U74" s="9" t="s">
        <v>28</v>
      </c>
      <c r="W74" s="9" t="s">
        <v>26</v>
      </c>
    </row>
    <row r="75">
      <c r="B75" s="9" t="s">
        <v>64</v>
      </c>
      <c r="D75" s="9" t="s">
        <v>65</v>
      </c>
      <c r="K75" s="9">
        <v>2004.0</v>
      </c>
      <c r="O75" s="9">
        <v>543.833333333333</v>
      </c>
      <c r="P75" s="9">
        <v>0.7</v>
      </c>
      <c r="Q75" s="11">
        <f t="shared" si="1"/>
        <v>380.6833333</v>
      </c>
      <c r="R75" s="12" t="s">
        <v>24</v>
      </c>
      <c r="U75" s="9" t="s">
        <v>25</v>
      </c>
      <c r="W75" s="9" t="s">
        <v>26</v>
      </c>
    </row>
    <row r="76">
      <c r="B76" s="9" t="s">
        <v>64</v>
      </c>
      <c r="D76" s="9" t="s">
        <v>65</v>
      </c>
      <c r="K76" s="9">
        <v>2007.0</v>
      </c>
      <c r="O76" s="9">
        <v>488.333333333333</v>
      </c>
      <c r="P76" s="9">
        <v>0.7</v>
      </c>
      <c r="Q76" s="11">
        <f t="shared" si="1"/>
        <v>341.8333333</v>
      </c>
      <c r="R76" s="12" t="s">
        <v>27</v>
      </c>
      <c r="U76" s="9" t="s">
        <v>45</v>
      </c>
      <c r="W76" s="9" t="s">
        <v>29</v>
      </c>
    </row>
    <row r="77">
      <c r="B77" s="9" t="s">
        <v>64</v>
      </c>
      <c r="D77" s="9" t="s">
        <v>65</v>
      </c>
      <c r="K77" s="9">
        <v>2008.0</v>
      </c>
      <c r="O77" s="9">
        <v>432.833333333333</v>
      </c>
      <c r="P77" s="9">
        <v>0.7</v>
      </c>
      <c r="Q77" s="11">
        <f t="shared" si="1"/>
        <v>302.9833333</v>
      </c>
      <c r="R77" s="12" t="s">
        <v>30</v>
      </c>
      <c r="U77" s="9" t="s">
        <v>41</v>
      </c>
      <c r="W77" s="9" t="s">
        <v>26</v>
      </c>
    </row>
    <row r="78">
      <c r="B78" s="9" t="s">
        <v>64</v>
      </c>
      <c r="D78" s="9" t="s">
        <v>65</v>
      </c>
      <c r="K78" s="9">
        <v>2010.0</v>
      </c>
      <c r="O78" s="9">
        <v>377.333333333333</v>
      </c>
      <c r="P78" s="9">
        <v>0.7</v>
      </c>
      <c r="Q78" s="11">
        <f t="shared" si="1"/>
        <v>264.1333333</v>
      </c>
      <c r="R78" s="12" t="s">
        <v>24</v>
      </c>
      <c r="U78" s="9" t="s">
        <v>63</v>
      </c>
      <c r="W78" s="9" t="s">
        <v>29</v>
      </c>
    </row>
    <row r="79">
      <c r="B79" s="9" t="s">
        <v>64</v>
      </c>
      <c r="D79" s="9" t="s">
        <v>65</v>
      </c>
      <c r="K79" s="9">
        <v>1998.0</v>
      </c>
      <c r="O79" s="9">
        <v>321.833333333333</v>
      </c>
      <c r="P79" s="9">
        <v>0.7</v>
      </c>
      <c r="Q79" s="11">
        <f t="shared" si="1"/>
        <v>225.2833333</v>
      </c>
      <c r="R79" s="12" t="s">
        <v>27</v>
      </c>
      <c r="U79" s="9" t="s">
        <v>53</v>
      </c>
      <c r="W79" s="9" t="s">
        <v>26</v>
      </c>
    </row>
    <row r="80">
      <c r="B80" s="9" t="s">
        <v>64</v>
      </c>
      <c r="D80" s="9" t="s">
        <v>65</v>
      </c>
      <c r="K80" s="9">
        <v>2003.0</v>
      </c>
      <c r="O80" s="9">
        <v>266.333333333333</v>
      </c>
      <c r="P80" s="9">
        <v>0.7</v>
      </c>
      <c r="Q80" s="11">
        <f t="shared" si="1"/>
        <v>186.4333333</v>
      </c>
      <c r="R80" s="12" t="s">
        <v>40</v>
      </c>
      <c r="U80" s="9" t="s">
        <v>34</v>
      </c>
      <c r="W80" s="9" t="s">
        <v>26</v>
      </c>
    </row>
    <row r="81">
      <c r="B81" s="9" t="s">
        <v>64</v>
      </c>
      <c r="D81" s="9" t="s">
        <v>65</v>
      </c>
      <c r="K81" s="9">
        <v>2004.0</v>
      </c>
      <c r="O81" s="9">
        <v>210.833333333333</v>
      </c>
      <c r="P81" s="9">
        <v>0.7</v>
      </c>
      <c r="Q81" s="11">
        <f t="shared" si="1"/>
        <v>147.5833333</v>
      </c>
      <c r="R81" s="12" t="s">
        <v>42</v>
      </c>
      <c r="U81" s="9" t="s">
        <v>33</v>
      </c>
      <c r="W81" s="9" t="s">
        <v>29</v>
      </c>
    </row>
    <row r="82">
      <c r="B82" s="9" t="s">
        <v>64</v>
      </c>
      <c r="D82" s="9" t="s">
        <v>65</v>
      </c>
      <c r="K82" s="9">
        <v>2005.0</v>
      </c>
      <c r="O82" s="9">
        <v>155.333333333333</v>
      </c>
      <c r="P82" s="9">
        <v>0.7</v>
      </c>
      <c r="Q82" s="11">
        <f t="shared" si="1"/>
        <v>108.7333333</v>
      </c>
      <c r="R82" s="12" t="s">
        <v>43</v>
      </c>
      <c r="U82" s="9" t="s">
        <v>32</v>
      </c>
      <c r="W82" s="9" t="s">
        <v>26</v>
      </c>
    </row>
    <row r="83">
      <c r="B83" s="9" t="s">
        <v>64</v>
      </c>
      <c r="D83" s="9" t="s">
        <v>65</v>
      </c>
      <c r="K83" s="9">
        <v>2008.0</v>
      </c>
      <c r="O83" s="9">
        <v>99.8333333333325</v>
      </c>
      <c r="P83" s="9">
        <v>0.7</v>
      </c>
      <c r="Q83" s="11">
        <f t="shared" si="1"/>
        <v>69.88333333</v>
      </c>
      <c r="R83" s="12" t="s">
        <v>44</v>
      </c>
      <c r="U83" s="9" t="s">
        <v>51</v>
      </c>
      <c r="W83" s="9" t="s">
        <v>29</v>
      </c>
    </row>
    <row r="84">
      <c r="B84" s="9" t="s">
        <v>66</v>
      </c>
      <c r="D84" s="9" t="s">
        <v>67</v>
      </c>
      <c r="K84" s="9">
        <v>2010.0</v>
      </c>
      <c r="O84" s="9">
        <v>432.833333333333</v>
      </c>
      <c r="P84" s="9">
        <v>0.7</v>
      </c>
      <c r="Q84" s="11">
        <f t="shared" si="1"/>
        <v>302.9833333</v>
      </c>
      <c r="R84" s="12" t="s">
        <v>46</v>
      </c>
      <c r="U84" s="9" t="s">
        <v>25</v>
      </c>
      <c r="W84" s="9" t="s">
        <v>26</v>
      </c>
    </row>
    <row r="85">
      <c r="B85" s="9" t="s">
        <v>66</v>
      </c>
      <c r="D85" s="9" t="s">
        <v>67</v>
      </c>
      <c r="K85" s="9">
        <v>2001.0</v>
      </c>
      <c r="O85" s="9">
        <v>377.333333333333</v>
      </c>
      <c r="P85" s="9">
        <v>0.7</v>
      </c>
      <c r="Q85" s="11">
        <f t="shared" si="1"/>
        <v>264.1333333</v>
      </c>
      <c r="R85" s="12" t="s">
        <v>24</v>
      </c>
      <c r="U85" s="9" t="s">
        <v>68</v>
      </c>
      <c r="W85" s="9" t="s">
        <v>26</v>
      </c>
    </row>
    <row r="86">
      <c r="B86" s="9" t="s">
        <v>66</v>
      </c>
      <c r="D86" s="9" t="s">
        <v>67</v>
      </c>
      <c r="K86" s="9">
        <v>2013.0</v>
      </c>
      <c r="O86" s="9">
        <v>321.833333333333</v>
      </c>
      <c r="P86" s="9">
        <v>0.7</v>
      </c>
      <c r="Q86" s="11">
        <f t="shared" si="1"/>
        <v>225.2833333</v>
      </c>
      <c r="R86" s="12" t="s">
        <v>27</v>
      </c>
      <c r="U86" s="9" t="s">
        <v>50</v>
      </c>
      <c r="W86" s="9" t="s">
        <v>29</v>
      </c>
    </row>
    <row r="87">
      <c r="B87" s="9" t="s">
        <v>66</v>
      </c>
      <c r="D87" s="9" t="s">
        <v>67</v>
      </c>
      <c r="K87" s="9">
        <v>2014.0</v>
      </c>
      <c r="O87" s="9">
        <v>266.333333333333</v>
      </c>
      <c r="P87" s="9">
        <v>0.7</v>
      </c>
      <c r="Q87" s="11">
        <f t="shared" si="1"/>
        <v>186.4333333</v>
      </c>
      <c r="R87" s="12" t="s">
        <v>30</v>
      </c>
      <c r="U87" s="9" t="s">
        <v>59</v>
      </c>
      <c r="W87" s="9" t="s">
        <v>26</v>
      </c>
    </row>
    <row r="88">
      <c r="B88" s="9" t="s">
        <v>66</v>
      </c>
      <c r="D88" s="9" t="s">
        <v>67</v>
      </c>
      <c r="K88" s="9">
        <v>2015.0</v>
      </c>
      <c r="O88" s="9">
        <v>432.833333333333</v>
      </c>
      <c r="P88" s="9">
        <v>0.7</v>
      </c>
      <c r="Q88" s="11">
        <f t="shared" si="1"/>
        <v>302.9833333</v>
      </c>
      <c r="R88" s="12" t="s">
        <v>24</v>
      </c>
      <c r="U88" s="9" t="s">
        <v>36</v>
      </c>
      <c r="W88" s="9" t="s">
        <v>29</v>
      </c>
    </row>
    <row r="89">
      <c r="B89" s="9" t="s">
        <v>66</v>
      </c>
      <c r="D89" s="9" t="s">
        <v>67</v>
      </c>
      <c r="K89" s="9">
        <v>2019.0</v>
      </c>
      <c r="O89" s="9">
        <v>377.333333333333</v>
      </c>
      <c r="P89" s="9">
        <v>0.7</v>
      </c>
      <c r="Q89" s="11">
        <f t="shared" si="1"/>
        <v>264.1333333</v>
      </c>
      <c r="R89" s="12" t="s">
        <v>27</v>
      </c>
      <c r="U89" s="9" t="s">
        <v>25</v>
      </c>
      <c r="W89" s="9" t="s">
        <v>26</v>
      </c>
    </row>
    <row r="90">
      <c r="B90" s="9" t="s">
        <v>66</v>
      </c>
      <c r="D90" s="9" t="s">
        <v>67</v>
      </c>
      <c r="K90" s="9">
        <v>2024.0</v>
      </c>
      <c r="O90" s="9">
        <v>321.833333333333</v>
      </c>
      <c r="P90" s="9">
        <v>0.7</v>
      </c>
      <c r="Q90" s="11">
        <f t="shared" si="1"/>
        <v>225.2833333</v>
      </c>
      <c r="R90" s="12" t="s">
        <v>40</v>
      </c>
      <c r="U90" s="9" t="s">
        <v>45</v>
      </c>
      <c r="W90" s="9" t="s">
        <v>26</v>
      </c>
    </row>
    <row r="91">
      <c r="B91" s="9" t="s">
        <v>66</v>
      </c>
      <c r="D91" s="9" t="s">
        <v>67</v>
      </c>
      <c r="K91" s="9">
        <v>2004.0</v>
      </c>
      <c r="O91" s="9">
        <v>266.333333333333</v>
      </c>
      <c r="P91" s="9">
        <v>0.7</v>
      </c>
      <c r="Q91" s="11">
        <f t="shared" si="1"/>
        <v>186.4333333</v>
      </c>
      <c r="R91" s="12" t="s">
        <v>42</v>
      </c>
      <c r="U91" s="9" t="s">
        <v>41</v>
      </c>
      <c r="W91" s="9" t="s">
        <v>29</v>
      </c>
    </row>
    <row r="92">
      <c r="B92" s="9" t="s">
        <v>66</v>
      </c>
      <c r="D92" s="9" t="s">
        <v>67</v>
      </c>
      <c r="K92" s="9">
        <v>2007.0</v>
      </c>
      <c r="O92" s="9">
        <v>210.833333333333</v>
      </c>
      <c r="P92" s="9">
        <v>0.7</v>
      </c>
      <c r="Q92" s="11">
        <f t="shared" si="1"/>
        <v>147.5833333</v>
      </c>
      <c r="R92" s="12" t="s">
        <v>43</v>
      </c>
      <c r="U92" s="9" t="s">
        <v>63</v>
      </c>
      <c r="W92" s="9" t="s">
        <v>26</v>
      </c>
    </row>
    <row r="93">
      <c r="B93" s="9" t="s">
        <v>66</v>
      </c>
      <c r="D93" s="9" t="s">
        <v>67</v>
      </c>
      <c r="K93" s="9">
        <v>2008.0</v>
      </c>
      <c r="O93" s="9">
        <v>155.333333333333</v>
      </c>
      <c r="P93" s="9">
        <v>0.7</v>
      </c>
      <c r="Q93" s="11">
        <f t="shared" si="1"/>
        <v>108.7333333</v>
      </c>
      <c r="R93" s="12" t="s">
        <v>44</v>
      </c>
      <c r="U93" s="9" t="s">
        <v>53</v>
      </c>
      <c r="W93" s="9" t="s">
        <v>29</v>
      </c>
    </row>
    <row r="94">
      <c r="B94" s="9" t="s">
        <v>66</v>
      </c>
      <c r="D94" s="9" t="s">
        <v>67</v>
      </c>
      <c r="K94" s="9">
        <v>2010.0</v>
      </c>
      <c r="O94" s="9">
        <v>432.833333333333</v>
      </c>
      <c r="P94" s="9">
        <v>0.7</v>
      </c>
      <c r="Q94" s="11">
        <f t="shared" si="1"/>
        <v>302.9833333</v>
      </c>
      <c r="R94" s="12" t="s">
        <v>46</v>
      </c>
      <c r="U94" s="9" t="s">
        <v>34</v>
      </c>
      <c r="W94" s="9" t="s">
        <v>26</v>
      </c>
    </row>
    <row r="95">
      <c r="B95" s="9" t="s">
        <v>66</v>
      </c>
      <c r="D95" s="9" t="s">
        <v>67</v>
      </c>
      <c r="K95" s="9">
        <v>1998.0</v>
      </c>
      <c r="O95" s="9">
        <v>377.333333333333</v>
      </c>
      <c r="P95" s="9">
        <v>0.7</v>
      </c>
      <c r="Q95" s="11">
        <f t="shared" si="1"/>
        <v>264.1333333</v>
      </c>
      <c r="R95" s="12" t="s">
        <v>24</v>
      </c>
      <c r="U95" s="9" t="s">
        <v>33</v>
      </c>
      <c r="W95" s="9" t="s">
        <v>26</v>
      </c>
    </row>
    <row r="96">
      <c r="B96" s="9" t="s">
        <v>66</v>
      </c>
      <c r="D96" s="9" t="s">
        <v>67</v>
      </c>
      <c r="K96" s="9">
        <v>2003.0</v>
      </c>
      <c r="O96" s="9">
        <v>321.833333333333</v>
      </c>
      <c r="P96" s="9">
        <v>0.7</v>
      </c>
      <c r="Q96" s="11">
        <f t="shared" si="1"/>
        <v>225.2833333</v>
      </c>
      <c r="R96" s="12" t="s">
        <v>27</v>
      </c>
      <c r="U96" s="9" t="s">
        <v>32</v>
      </c>
      <c r="W96" s="9" t="s">
        <v>29</v>
      </c>
    </row>
    <row r="97">
      <c r="B97" s="9" t="s">
        <v>66</v>
      </c>
      <c r="D97" s="9" t="s">
        <v>67</v>
      </c>
      <c r="K97" s="9">
        <v>2004.0</v>
      </c>
      <c r="O97" s="9">
        <v>266.333333333333</v>
      </c>
      <c r="P97" s="9">
        <v>0.7</v>
      </c>
      <c r="Q97" s="11">
        <f t="shared" si="1"/>
        <v>186.4333333</v>
      </c>
      <c r="R97" s="12" t="s">
        <v>30</v>
      </c>
      <c r="U97" s="9" t="s">
        <v>51</v>
      </c>
      <c r="W97" s="9" t="s">
        <v>26</v>
      </c>
    </row>
    <row r="98">
      <c r="B98" s="9" t="s">
        <v>66</v>
      </c>
      <c r="D98" s="9" t="s">
        <v>67</v>
      </c>
      <c r="K98" s="9">
        <v>2005.0</v>
      </c>
      <c r="O98" s="9">
        <v>210.833333333333</v>
      </c>
      <c r="P98" s="9">
        <v>0.7</v>
      </c>
      <c r="Q98" s="11">
        <f t="shared" si="1"/>
        <v>147.5833333</v>
      </c>
      <c r="R98" s="12" t="s">
        <v>24</v>
      </c>
      <c r="U98" s="9" t="s">
        <v>25</v>
      </c>
      <c r="W98" s="9" t="s">
        <v>29</v>
      </c>
    </row>
    <row r="99">
      <c r="B99" s="9" t="s">
        <v>66</v>
      </c>
      <c r="D99" s="9" t="s">
        <v>67</v>
      </c>
      <c r="K99" s="9">
        <v>2008.0</v>
      </c>
      <c r="O99" s="9">
        <v>155.333333333333</v>
      </c>
      <c r="P99" s="9">
        <v>0.7</v>
      </c>
      <c r="Q99" s="11">
        <f t="shared" si="1"/>
        <v>108.7333333</v>
      </c>
      <c r="R99" s="12" t="s">
        <v>27</v>
      </c>
      <c r="U99" s="9" t="s">
        <v>68</v>
      </c>
      <c r="W99" s="9" t="s">
        <v>26</v>
      </c>
    </row>
    <row r="100">
      <c r="B100" s="9" t="s">
        <v>66</v>
      </c>
      <c r="D100" s="9" t="s">
        <v>67</v>
      </c>
      <c r="K100" s="9">
        <v>2010.0</v>
      </c>
      <c r="O100" s="9">
        <v>432.833333333333</v>
      </c>
      <c r="P100" s="9">
        <v>0.7</v>
      </c>
      <c r="Q100" s="11">
        <f t="shared" si="1"/>
        <v>302.9833333</v>
      </c>
      <c r="R100" s="12" t="s">
        <v>40</v>
      </c>
      <c r="U100" s="9" t="s">
        <v>50</v>
      </c>
      <c r="W100" s="9" t="s">
        <v>26</v>
      </c>
    </row>
    <row r="101">
      <c r="B101" s="9" t="s">
        <v>66</v>
      </c>
      <c r="D101" s="9" t="s">
        <v>67</v>
      </c>
      <c r="K101" s="9">
        <v>2001.0</v>
      </c>
      <c r="O101" s="9">
        <v>377.333333333333</v>
      </c>
      <c r="P101" s="9">
        <v>0.7</v>
      </c>
      <c r="Q101" s="11">
        <f t="shared" si="1"/>
        <v>264.1333333</v>
      </c>
      <c r="R101" s="12" t="s">
        <v>42</v>
      </c>
      <c r="U101" s="9" t="s">
        <v>59</v>
      </c>
      <c r="W101" s="9" t="s">
        <v>29</v>
      </c>
    </row>
    <row r="102">
      <c r="B102" s="9" t="s">
        <v>66</v>
      </c>
      <c r="D102" s="9" t="s">
        <v>67</v>
      </c>
      <c r="K102" s="9">
        <v>2013.0</v>
      </c>
      <c r="O102" s="9">
        <v>321.833333333333</v>
      </c>
      <c r="P102" s="9">
        <v>0.87</v>
      </c>
      <c r="Q102" s="11">
        <f t="shared" si="1"/>
        <v>279.995</v>
      </c>
      <c r="R102" s="12" t="s">
        <v>43</v>
      </c>
      <c r="U102" s="9" t="s">
        <v>36</v>
      </c>
      <c r="W102" s="9" t="s">
        <v>26</v>
      </c>
    </row>
    <row r="103">
      <c r="B103" s="9" t="s">
        <v>66</v>
      </c>
      <c r="D103" s="9" t="s">
        <v>67</v>
      </c>
      <c r="K103" s="9">
        <v>2014.0</v>
      </c>
      <c r="O103" s="9">
        <v>266.333333333333</v>
      </c>
      <c r="P103" s="9">
        <v>0.87</v>
      </c>
      <c r="Q103" s="11">
        <f t="shared" si="1"/>
        <v>231.71</v>
      </c>
      <c r="R103" s="12" t="s">
        <v>44</v>
      </c>
      <c r="U103" s="9" t="s">
        <v>25</v>
      </c>
      <c r="W103" s="9" t="s">
        <v>29</v>
      </c>
    </row>
    <row r="104">
      <c r="B104" s="9" t="s">
        <v>66</v>
      </c>
      <c r="D104" s="9" t="s">
        <v>67</v>
      </c>
      <c r="K104" s="9">
        <v>2015.0</v>
      </c>
      <c r="O104" s="9">
        <v>210.833333333333</v>
      </c>
      <c r="P104" s="9">
        <v>0.87</v>
      </c>
      <c r="Q104" s="11">
        <f t="shared" si="1"/>
        <v>183.425</v>
      </c>
      <c r="R104" s="12" t="s">
        <v>46</v>
      </c>
      <c r="U104" s="9" t="s">
        <v>45</v>
      </c>
      <c r="W104" s="9" t="s">
        <v>26</v>
      </c>
    </row>
    <row r="105">
      <c r="B105" s="9" t="s">
        <v>66</v>
      </c>
      <c r="D105" s="9" t="s">
        <v>67</v>
      </c>
      <c r="K105" s="9">
        <v>2019.0</v>
      </c>
      <c r="O105" s="9">
        <v>155.333333333333</v>
      </c>
      <c r="P105" s="9">
        <v>0.87</v>
      </c>
      <c r="Q105" s="11">
        <f t="shared" si="1"/>
        <v>135.14</v>
      </c>
      <c r="R105" s="12" t="s">
        <v>24</v>
      </c>
      <c r="U105" s="9" t="s">
        <v>41</v>
      </c>
      <c r="W105" s="9" t="s">
        <v>26</v>
      </c>
    </row>
    <row r="106">
      <c r="B106" s="9" t="s">
        <v>66</v>
      </c>
      <c r="D106" s="9" t="s">
        <v>67</v>
      </c>
      <c r="K106" s="9">
        <v>2024.0</v>
      </c>
      <c r="O106" s="9">
        <v>432.833333333333</v>
      </c>
      <c r="P106" s="9">
        <v>0.87</v>
      </c>
      <c r="Q106" s="11">
        <f t="shared" si="1"/>
        <v>376.565</v>
      </c>
      <c r="R106" s="12" t="s">
        <v>27</v>
      </c>
      <c r="U106" s="9" t="s">
        <v>63</v>
      </c>
      <c r="W106" s="9" t="s">
        <v>29</v>
      </c>
    </row>
    <row r="107">
      <c r="B107" s="9" t="s">
        <v>66</v>
      </c>
      <c r="D107" s="9" t="s">
        <v>67</v>
      </c>
      <c r="K107" s="9">
        <v>2004.0</v>
      </c>
      <c r="O107" s="9">
        <v>377.333333333333</v>
      </c>
      <c r="P107" s="9">
        <v>0.87</v>
      </c>
      <c r="Q107" s="11">
        <f t="shared" si="1"/>
        <v>328.28</v>
      </c>
      <c r="R107" s="12" t="s">
        <v>30</v>
      </c>
      <c r="U107" s="9" t="s">
        <v>53</v>
      </c>
      <c r="W107" s="9" t="s">
        <v>26</v>
      </c>
    </row>
    <row r="108">
      <c r="B108" s="9" t="s">
        <v>66</v>
      </c>
      <c r="D108" s="9" t="s">
        <v>67</v>
      </c>
      <c r="K108" s="9">
        <v>2007.0</v>
      </c>
      <c r="O108" s="9">
        <v>432.833333333333</v>
      </c>
      <c r="P108" s="9">
        <v>0.87</v>
      </c>
      <c r="Q108" s="11">
        <f t="shared" si="1"/>
        <v>376.565</v>
      </c>
      <c r="R108" s="12" t="s">
        <v>24</v>
      </c>
      <c r="U108" s="9" t="s">
        <v>34</v>
      </c>
      <c r="W108" s="9" t="s">
        <v>29</v>
      </c>
    </row>
    <row r="109">
      <c r="B109" s="9" t="s">
        <v>66</v>
      </c>
      <c r="D109" s="9" t="s">
        <v>67</v>
      </c>
      <c r="K109" s="9">
        <v>2008.0</v>
      </c>
      <c r="O109" s="9">
        <v>377.333333333333</v>
      </c>
      <c r="P109" s="9">
        <v>0.87</v>
      </c>
      <c r="Q109" s="11">
        <f t="shared" si="1"/>
        <v>328.28</v>
      </c>
      <c r="R109" s="12" t="s">
        <v>27</v>
      </c>
      <c r="U109" s="9" t="s">
        <v>33</v>
      </c>
      <c r="W109" s="9" t="s">
        <v>26</v>
      </c>
    </row>
    <row r="110">
      <c r="B110" s="9" t="s">
        <v>66</v>
      </c>
      <c r="D110" s="9" t="s">
        <v>67</v>
      </c>
      <c r="K110" s="9">
        <v>2010.0</v>
      </c>
      <c r="O110" s="9">
        <v>321.833333333333</v>
      </c>
      <c r="P110" s="9">
        <v>0.87</v>
      </c>
      <c r="Q110" s="11">
        <f t="shared" si="1"/>
        <v>279.995</v>
      </c>
      <c r="R110" s="12" t="s">
        <v>40</v>
      </c>
      <c r="U110" s="9" t="s">
        <v>32</v>
      </c>
      <c r="W110" s="9" t="s">
        <v>26</v>
      </c>
    </row>
    <row r="111">
      <c r="B111" s="9" t="s">
        <v>66</v>
      </c>
      <c r="D111" s="9" t="s">
        <v>67</v>
      </c>
      <c r="K111" s="9">
        <v>1998.0</v>
      </c>
      <c r="O111" s="9">
        <v>266.333333333333</v>
      </c>
      <c r="P111" s="9">
        <v>0.87</v>
      </c>
      <c r="Q111" s="11">
        <f t="shared" si="1"/>
        <v>231.71</v>
      </c>
      <c r="R111" s="12" t="s">
        <v>42</v>
      </c>
      <c r="U111" s="9" t="s">
        <v>51</v>
      </c>
      <c r="W111" s="9" t="s">
        <v>29</v>
      </c>
    </row>
    <row r="112">
      <c r="B112" s="9" t="s">
        <v>66</v>
      </c>
      <c r="D112" s="9" t="s">
        <v>67</v>
      </c>
      <c r="K112" s="9">
        <v>2003.0</v>
      </c>
      <c r="O112" s="9">
        <v>210.833333333333</v>
      </c>
      <c r="P112" s="9">
        <v>0.87</v>
      </c>
      <c r="Q112" s="11">
        <f t="shared" si="1"/>
        <v>183.425</v>
      </c>
      <c r="R112" s="12" t="s">
        <v>43</v>
      </c>
      <c r="U112" s="9" t="s">
        <v>25</v>
      </c>
      <c r="W112" s="9" t="s">
        <v>26</v>
      </c>
    </row>
    <row r="113">
      <c r="B113" s="9" t="s">
        <v>66</v>
      </c>
      <c r="D113" s="9" t="s">
        <v>67</v>
      </c>
      <c r="K113" s="9">
        <v>2004.0</v>
      </c>
      <c r="O113" s="9">
        <v>155.333333333333</v>
      </c>
      <c r="P113" s="9">
        <v>0.87</v>
      </c>
      <c r="Q113" s="11">
        <f t="shared" si="1"/>
        <v>135.14</v>
      </c>
      <c r="R113" s="12" t="s">
        <v>44</v>
      </c>
      <c r="U113" s="9" t="s">
        <v>68</v>
      </c>
      <c r="W113" s="9" t="s">
        <v>29</v>
      </c>
    </row>
  </sheetData>
  <drawing r:id="rId1"/>
</worksheet>
</file>